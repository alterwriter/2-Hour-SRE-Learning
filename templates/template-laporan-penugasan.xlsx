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f7a21be84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c8740ca0973f4ec6"/>
    <x:sheet xmlns:r="http://schemas.openxmlformats.org/officeDocument/2006/relationships" name="Checklist_Audit_SRE" sheetId="2" r:id="Racab5bd4bf074e4b"/>
    <x:sheet xmlns:r="http://schemas.openxmlformats.org/officeDocument/2006/relationships" name="Penugasan_DevSecOps" sheetId="3" r:id="R4cd1a85f05ef48d1"/>
    <x:sheet xmlns:r="http://schemas.openxmlformats.org/officeDocument/2006/relationships" name="Ringkasan_Laporan" sheetId="4" r:id="Rae6512cf87794c85"/>
    <x:sheet xmlns:r="http://schemas.openxmlformats.org/officeDocument/2006/relationships" name="Rekap" sheetId="5" r:id="R9ff18d77dcfd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8"/>
      <x:color rgb="00FFFFFF"/>
      <x:name val="Calibri"/>
    </x:font>
    <x:font>
      <x:sz val="11"/>
      <x:name val="Calibri"/>
    </x:font>
    <x:font>
      <x:b/>
      <x:sz val="12"/>
      <x:color rgb="00FFFFFF"/>
      <x:name val="Calibri"/>
    </x:font>
    <x:font>
      <x:b/>
      <x:sz val="11"/>
      <x:color rgb="00FFFFFF"/>
      <x:name val="Calibri"/>
    </x:font>
    <x:font>
      <x:sz val="10"/>
      <x:name val="Calibri"/>
    </x:font>
    <x:font>
      <x:b/>
      <x:sz val="1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6FAFE"/>
      </x:patternFill>
    </x:fill>
    <x:fill>
      <x:patternFill patternType="solid">
        <x:fgColor rgb="00EAF3F9"/>
      </x:patternFill>
    </x:fill>
    <x:fill>
      <x:patternFill patternType="solid">
        <x:fgColor rgb="00ECEFF1"/>
      </x:patternFill>
    </x:fill>
  </x:fills>
  <x:borders count="2">
    <x:border>
      <x:left/>
      <x:right/>
      <x:top/>
      <x:bottom/>
      <x:diagonal/>
    </x:border>
    <x:border>
      <x:left style="thin">
        <x:color rgb="00B7C9D6"/>
      </x:left>
      <x:right style="thin">
        <x:color rgb="00B7C9D6"/>
      </x:right>
      <x:top style="thin">
        <x:color rgb="00B7C9D6"/>
      </x:top>
      <x:bottom style="thin">
        <x:color rgb="00B7C9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3" fillId="2" borderId="0" xfId="0" applyAlignment="1">
      <x:alignment horizontal="left" vertical="center"/>
    </x:xf>
    <x:xf numFmtId="0" fontId="4" fillId="2" borderId="1" xfId="0" applyAlignment="1">
      <x:alignment horizontal="center" vertical="center"/>
    </x:xf>
    <x:xf numFmtId="0" fontId="4" fillId="2" borderId="1" xfId="0" applyAlignment="1">
      <x:alignment horizontal="left" vertical="center"/>
    </x:xf>
    <x:xf numFmtId="0" fontId="5" fillId="0" borderId="1" xfId="0" applyAlignment="1">
      <x:alignment vertical="center" wrapText="1"/>
    </x:xf>
    <x:xf numFmtId="0" fontId="5" fillId="3" borderId="1" xfId="0" applyAlignment="1">
      <x:alignment vertical="center" wrapText="1"/>
    </x:xf>
    <x:xf numFmtId="0" fontId="4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/>
    </x:xf>
    <x:xf numFmtId="0" fontId="6" fillId="4" borderId="1" xfId="0" applyAlignment="1">
      <x:alignment horizontal="center" vertical="center"/>
    </x:xf>
    <x:xf numFmtId="9" fontId="6" fillId="4" borderId="1" xfId="0" applyAlignment="1">
      <x:alignment horizontal="center" vertical="center"/>
    </x:xf>
    <x:xf numFmtId="0" fontId="6" fillId="5" borderId="1" xfId="0"/>
    <x:xf numFmtId="0" fontId="5" fillId="3" borderId="1" xfId="0" applyAlignment="1">
      <x:alignment vertical="top" wrapText="1"/>
    </x:xf>
    <x:xf numFmtId="0" fontId="5" fillId="4" borderId="1" xfId="0" applyAlignment="1">
      <x:alignment vertical="center" wrapText="1"/>
    </x:xf>
    <x:xf numFmtId="9" fontId="5" fillId="4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dcb3afaab457b" /><Relationship Type="http://schemas.openxmlformats.org/officeDocument/2006/relationships/theme" Target="/xl/theme/theme1.xml" Id="R0568d1bd43f54912" /><Relationship Type="http://schemas.openxmlformats.org/officeDocument/2006/relationships/sharedStrings" Target="/xl/sharedStrings.xml" Id="Rc4dce7874a154514" /><Relationship Type="http://schemas.openxmlformats.org/officeDocument/2006/relationships/worksheet" Target="/xl/worksheets/sheet1.xml" Id="Rc8740ca0973f4ec6" /><Relationship Type="http://schemas.openxmlformats.org/officeDocument/2006/relationships/worksheet" Target="/xl/worksheets/sheet2.xml" Id="Racab5bd4bf074e4b" /><Relationship Type="http://schemas.openxmlformats.org/officeDocument/2006/relationships/worksheet" Target="/xl/worksheets/sheet3.xml" Id="R4cd1a85f05ef48d1" /><Relationship Type="http://schemas.openxmlformats.org/officeDocument/2006/relationships/worksheet" Target="/xl/worksheets/sheet4.xml" Id="Rae6512cf87794c85" /><Relationship Type="http://schemas.openxmlformats.org/officeDocument/2006/relationships/worksheet" Target="/xl/worksheets/sheet5.xml" Id="R9ff18d77dcfd492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42" customWidth="1"/>
    <x:col min="3" max="3" width="10" customWidth="1"/>
    <x:col min="4" max="4" width="3" customWidth="1"/>
    <x:col min="5" max="5" width="24" customWidth="1"/>
    <x:col min="6" max="6" width="24" customWidth="1"/>
    <x:col min="7" max="7" width="24" customWidth="1"/>
    <x:col min="8" max="8" width="24" customWidth="1"/>
  </x:cols>
  <x:sheetData>
    <x:row r="1" ht="28" customHeight="1">
      <x:c r="A1" s="1" t="inlineStr">
        <x:is>
          <x:t xml:space="preserve">Template Laporan Penugasan — Workshop 2-Hour SRE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28" customHeight="1">
      <x:c r="A2" s="1" t="n"/>
      <x:c r="B2" s="1" t="n"/>
      <x:c r="C2" s="1" t="n"/>
      <x:c r="D2" s="1" t="n"/>
      <x:c r="E2" s="1" t="n"/>
      <x:c r="F2" s="1" t="n"/>
      <x:c r="G2" s="1" t="n"/>
      <x:c r="H2" s="1" t="n"/>
    </x:row>
    <x:row r="3" ht="22" customHeight="1">
      <x:c r="A3" s="2" t="inlineStr">
        <x:is>
          <x:t xml:space="preserve">Gunakan workbook ini untuk mendokumentasikan bukti penugasan peserta pada domain SRE dan DevSecOps.</x:t>
        </x:is>
      </x:c>
    </x:row>
    <x:row r="4" ht="22" customHeight="1"/>
    <x:row r="5" ht="22" customHeight="1">
      <x:c r="A5" t="inlineStr">
        <x:is>
          <x:t xml:space="preserve">1. Isi sheet Checklist_Audit_SRE untuk mencatat status kontrol, temuan, rekomendasi, dan bukti.</x:t>
        </x:is>
      </x:c>
    </x:row>
    <x:row r="6" ht="22" customHeight="1">
      <x:c r="A6" t="inlineStr">
        <x:is>
          <x:t xml:space="preserve">2. Isi sheet Penugasan_DevSecOps untuk URL project, pipeline, merge request, dan capture bukti.</x:t>
        </x:is>
      </x:c>
    </x:row>
    <x:row r="7" ht="22" customHeight="1">
      <x:c r="A7" t="inlineStr">
        <x:is>
          <x:t xml:space="preserve">3. Gunakan sheet Ringkasan_Laporan untuk menyusun ringkasan eksekutif temuan.</x:t>
        </x:is>
      </x:c>
    </x:row>
    <x:row r="8" ht="22" customHeight="1">
      <x:c r="A8" t="inlineStr">
        <x:is>
          <x:t xml:space="preserve">4. Sheet Rekap akan menghitung ringkasan kelengkapan dan skor otomatis.</x:t>
        </x:is>
      </x:c>
    </x:row>
    <x:row r="9" ht="22" customHeight="1"/>
    <x:row r="10" ht="24" customHeight="1">
      <x:c r="A10" s="3" t="inlineStr">
        <x:is>
          <x:t xml:space="preserve">Skala status kontrol</x:t>
        </x:is>
      </x:c>
      <x:c r="B10" s="3" t="n"/>
      <x:c r="C10" s="3" t="n"/>
      <x:c r="D10" s="3" t="n"/>
      <x:c r="E10" s="3" t="n"/>
      <x:c r="F10" s="3" t="n"/>
      <x:c r="G10" s="3" t="n"/>
      <x:c r="H10" s="3" t="n"/>
    </x:row>
    <x:row r="11" ht="22" customHeight="1"/>
    <x:row r="12" ht="22" customHeight="1">
      <x:c r="A12" s="4" t="inlineStr">
        <x:is>
          <x:t xml:space="preserve">Status</x:t>
        </x:is>
      </x:c>
      <x:c r="B12" s="4" t="inlineStr">
        <x:is>
          <x:t xml:space="preserve">Interpretasi</x:t>
        </x:is>
      </x:c>
      <x:c r="C12" s="4" t="inlineStr">
        <x:is>
          <x:t xml:space="preserve">Skor</x:t>
        </x:is>
      </x:c>
      <x:c r="E12" s="5" t="inlineStr">
        <x:is>
          <x:t xml:space="preserve">Artefak minimum yang perlu dikumpulkan</x:t>
        </x:is>
      </x:c>
      <x:c r="F12" s="5" t="n"/>
      <x:c r="G12" s="5" t="n"/>
      <x:c r="H12" s="5" t="n"/>
    </x:row>
    <x:row r="13" ht="22" customHeight="1">
      <x:c r="A13" s="6" t="inlineStr">
        <x:is>
          <x:t xml:space="preserve">Ya</x:t>
        </x:is>
      </x:c>
      <x:c r="B13" s="6" t="inlineStr">
        <x:is>
          <x:t xml:space="preserve">Kontrol tersedia dan bukti memadai</x:t>
        </x:is>
      </x:c>
      <x:c r="C13" s="6" t="inlineStr">
        <x:is>
          <x:t xml:space="preserve">2</x:t>
        </x:is>
      </x:c>
      <x:c r="E13" s="7" t="inlineStr">
        <x:is>
          <x:t xml:space="preserve">• URL repository / project GitLab</x:t>
        </x:is>
      </x:c>
      <x:c r="F13" s="7" t="n"/>
      <x:c r="G13" s="7" t="n"/>
      <x:c r="H13" s="7" t="n"/>
    </x:row>
    <x:row r="14" ht="22" customHeight="1">
      <x:c r="A14" s="6" t="inlineStr">
        <x:is>
          <x:t xml:space="preserve">Parsial</x:t>
        </x:is>
      </x:c>
      <x:c r="B14" s="6" t="inlineStr">
        <x:is>
          <x:t xml:space="preserve">Kontrol tersedia sebagian atau belum konsisten</x:t>
        </x:is>
      </x:c>
      <x:c r="C14" s="6" t="inlineStr">
        <x:is>
          <x:t xml:space="preserve">1</x:t>
        </x:is>
      </x:c>
      <x:c r="E14" s="7" t="inlineStr">
        <x:is>
          <x:t xml:space="preserve">• URL pipeline yang menampilkan hasil scan</x:t>
        </x:is>
      </x:c>
      <x:c r="F14" s="7" t="n"/>
      <x:c r="G14" s="7" t="n"/>
      <x:c r="H14" s="7" t="n"/>
    </x:row>
    <x:row r="15" ht="22" customHeight="1">
      <x:c r="A15" s="6" t="inlineStr">
        <x:is>
          <x:t xml:space="preserve">Tidak</x:t>
        </x:is>
      </x:c>
      <x:c r="B15" s="6" t="inlineStr">
        <x:is>
          <x:t xml:space="preserve">Kontrol belum tersedia atau tidak dapat dibuktikan</x:t>
        </x:is>
      </x:c>
      <x:c r="C15" s="6" t="inlineStr">
        <x:is>
          <x:t xml:space="preserve">0</x:t>
        </x:is>
      </x:c>
      <x:c r="E15" s="7" t="inlineStr">
        <x:is>
          <x:t xml:space="preserve">• URL merge request atau eviden perubahan</x:t>
        </x:is>
      </x:c>
      <x:c r="F15" s="7" t="n"/>
      <x:c r="G15" s="7" t="n"/>
      <x:c r="H15" s="7" t="n"/>
    </x:row>
    <x:row r="16" ht="22" customHeight="1">
      <x:c r="E16" s="7" t="inlineStr">
        <x:is>
          <x:t xml:space="preserve">• Capture dashboard, log, atau hasil scan yang relevan</x:t>
        </x:is>
      </x:c>
      <x:c r="F16" s="7" t="n"/>
      <x:c r="G16" s="7" t="n"/>
      <x:c r="H16" s="7" t="n"/>
    </x:row>
    <x:row r="17" ht="22" customHeight="1">
      <x:c r="E17" s="7" t="inlineStr">
        <x:is>
          <x:t xml:space="preserve">• Ringkasan rekomendasi perbaikan</x:t>
        </x:is>
      </x:c>
      <x:c r="F17" s="7" t="n"/>
      <x:c r="G17" s="7" t="n"/>
      <x:c r="H17" s="7" t="n"/>
    </x:row>
    <x:row r="18" ht="22" customHeight="1"/>
    <x:row r="19" ht="22" customHeight="1"/>
  </x:sheetData>
  <x:mergeCells>
    <x:mergeCell ref="E14:H14"/>
    <x:mergeCell ref="A3:H3"/>
    <x:mergeCell ref="E17:H17"/>
    <x:mergeCell ref="A7:H7"/>
    <x:mergeCell ref="E12:H12"/>
    <x:mergeCell ref="A10:H10"/>
    <x:mergeCell ref="E16:H16"/>
    <x:mergeCell ref="E15:H15"/>
    <x:mergeCell ref="A5:H5"/>
    <x:mergeCell ref="A1:H2"/>
    <x:mergeCell ref="A8:H8"/>
    <x:mergeCell ref="A6:H6"/>
    <x:mergeCell ref="E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6" customWidth="1"/>
    <x:col min="3" max="3" width="30" customWidth="1"/>
    <x:col min="4" max="4" width="24" customWidth="1"/>
    <x:col min="5" max="5" width="12" customWidth="1"/>
    <x:col min="6" max="6" width="12" customWidth="1"/>
    <x:col min="7" max="7" width="26" customWidth="1"/>
    <x:col min="8" max="8" width="26" customWidth="1"/>
    <x:col min="9" max="9" width="16" customWidth="1"/>
    <x:col min="10" max="10" width="14" customWidth="1"/>
    <x:col min="11" max="11" width="26" customWidth="1"/>
    <x:col min="12" max="12" width="12" customWidth="1"/>
    <x:col min="13" max="13" width="8" customWidth="1"/>
  </x:cols>
  <x:sheetData>
    <x:row r="1">
      <x:c r="A1" s="1" t="inlineStr">
        <x:is>
          <x:t xml:space="preserve">Checklist Audit SRE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</x:row>
    <x:row r="4" ht="32" customHeight="1">
      <x:c r="A4" s="8" t="inlineStr">
        <x:is>
          <x:t xml:space="preserve">No</x:t>
        </x:is>
      </x:c>
      <x:c r="B4" s="8" t="inlineStr">
        <x:is>
          <x:t xml:space="preserve">Area</x:t>
        </x:is>
      </x:c>
      <x:c r="C4" s="8" t="inlineStr">
        <x:is>
          <x:t xml:space="preserve">Kontrol Audit</x:t>
        </x:is>
      </x:c>
      <x:c r="D4" s="8" t="inlineStr">
        <x:is>
          <x:t xml:space="preserve">Bukti Minimum</x:t>
        </x:is>
      </x:c>
      <x:c r="E4" s="8" t="inlineStr">
        <x:is>
          <x:t xml:space="preserve">Status</x:t>
        </x:is>
      </x:c>
      <x:c r="F4" s="8" t="inlineStr">
        <x:is>
          <x:t xml:space="preserve">Risiko</x:t>
        </x:is>
      </x:c>
      <x:c r="G4" s="8" t="inlineStr">
        <x:is>
          <x:t xml:space="preserve">Temuan</x:t>
        </x:is>
      </x:c>
      <x:c r="H4" s="8" t="inlineStr">
        <x:is>
          <x:t xml:space="preserve">Rekomendasi</x:t>
        </x:is>
      </x:c>
      <x:c r="I4" s="8" t="inlineStr">
        <x:is>
          <x:t xml:space="preserve">PIC</x:t>
        </x:is>
      </x:c>
      <x:c r="J4" s="8" t="inlineStr">
        <x:is>
          <x:t xml:space="preserve">Target Tanggal</x:t>
        </x:is>
      </x:c>
      <x:c r="K4" s="8" t="inlineStr">
        <x:is>
          <x:t xml:space="preserve">URL Bukti</x:t>
        </x:is>
      </x:c>
      <x:c r="L4" s="8" t="inlineStr">
        <x:is>
          <x:t xml:space="preserve">Capture</x:t>
        </x:is>
      </x:c>
      <x:c r="M4" s="8" t="inlineStr">
        <x:is>
          <x:t xml:space="preserve">Skor</x:t>
        </x:is>
      </x:c>
    </x:row>
    <x:row r="5" ht="32" customHeight="1">
      <x:c r="A5" s="6" t="n">
        <x:v>1</x:v>
      </x:c>
      <x:c r="B5" s="7" t="inlineStr">
        <x:is>
          <x:t xml:space="preserve">SLI/SLO</x:t>
        </x:is>
      </x:c>
      <x:c r="C5" s="7" t="inlineStr">
        <x:is>
          <x:t xml:space="preserve">Layanan memiliki SLI dan SLO terdokumentasi</x:t>
        </x:is>
      </x:c>
      <x:c r="D5" s="7" t="inlineStr">
        <x:is>
          <x:t xml:space="preserve">Dokumen SLO, dashboard</x:t>
        </x:is>
      </x:c>
      <x:c r="E5" s="6" t="inlineStr">
        <x:is>
          <x:t xml:space="preserve">Parsial</x:t>
        </x:is>
      </x:c>
      <x:c r="F5" s="6" t="inlineStr">
        <x:is>
          <x:t xml:space="preserve">Tinggi</x:t>
        </x:is>
      </x:c>
      <x:c r="G5" s="6" t="inlineStr">
        <x:is>
          <x:t xml:space="preserve"/>
        </x:is>
      </x:c>
      <x:c r="H5" s="6" t="inlineStr">
        <x:is>
          <x:t xml:space="preserve"/>
        </x:is>
      </x:c>
      <x:c r="I5" s="6" t="inlineStr">
        <x:is>
          <x:t xml:space="preserve"/>
        </x:is>
      </x:c>
      <x:c r="J5" s="6" t="inlineStr">
        <x:is>
          <x:t xml:space="preserve"/>
        </x:is>
      </x:c>
      <x:c r="K5" s="6" t="inlineStr">
        <x:is>
          <x:t xml:space="preserve"/>
        </x:is>
      </x:c>
      <x:c r="L5" s="6" t="inlineStr">
        <x:is>
          <x:t xml:space="preserve">Tidak</x:t>
        </x:is>
      </x:c>
      <x:c r="M5" s="9">
        <x:f>IF(E5="Ya",2,IF(E5="Parsial",1,0))</x:f>
        <x:v>1</x:v>
      </x:c>
    </x:row>
    <x:row r="6" ht="32" customHeight="1">
      <x:c r="A6" s="6" t="n">
        <x:v>2</x:v>
      </x:c>
      <x:c r="B6" s="7" t="inlineStr">
        <x:is>
          <x:t xml:space="preserve">Error Budget</x:t>
        </x:is>
      </x:c>
      <x:c r="C6" s="7" t="inlineStr">
        <x:is>
          <x:t xml:space="preserve">Ada kebijakan operasional saat error budget terpakai</x:t>
        </x:is>
      </x:c>
      <x:c r="D6" s="7" t="inlineStr">
        <x:is>
          <x:t xml:space="preserve">Kebijakan perubahan / rilis</x:t>
        </x:is>
      </x:c>
      <x:c r="E6" s="6" t="inlineStr">
        <x:is>
          <x:t xml:space="preserve">Tidak</x:t>
        </x:is>
      </x:c>
      <x:c r="F6" s="6" t="inlineStr">
        <x:is>
          <x:t xml:space="preserve">Tinggi</x:t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6" t="inlineStr">
        <x:is>
          <x:t xml:space="preserve"/>
        </x:is>
      </x:c>
      <x:c r="J6" s="6" t="inlineStr">
        <x:is>
          <x:t xml:space="preserve"/>
        </x:is>
      </x:c>
      <x:c r="K6" s="6" t="inlineStr">
        <x:is>
          <x:t xml:space="preserve"/>
        </x:is>
      </x:c>
      <x:c r="L6" s="6" t="inlineStr">
        <x:is>
          <x:t xml:space="preserve">Tidak</x:t>
        </x:is>
      </x:c>
      <x:c r="M6" s="9">
        <x:f>IF(E6="Ya",2,IF(E6="Parsial",1,0))</x:f>
        <x:v>0</x:v>
      </x:c>
    </x:row>
    <x:row r="7" ht="32" customHeight="1">
      <x:c r="A7" s="6" t="n">
        <x:v>3</x:v>
      </x:c>
      <x:c r="B7" s="7" t="inlineStr">
        <x:is>
          <x:t xml:space="preserve">Observability</x:t>
        </x:is>
      </x:c>
      <x:c r="C7" s="7" t="inlineStr">
        <x:is>
          <x:t xml:space="preserve">Metrics, logs, dan traces tersedia</x:t>
        </x:is>
      </x:c>
      <x:c r="D7" s="7" t="inlineStr">
        <x:is>
          <x:t xml:space="preserve">Dashboard, log, trace</x:t>
        </x:is>
      </x:c>
      <x:c r="E7" s="6" t="inlineStr">
        <x:is>
          <x:t xml:space="preserve">Parsial</x:t>
        </x:is>
      </x:c>
      <x:c r="F7" s="6" t="inlineStr">
        <x:is>
          <x:t xml:space="preserve">Tinggi</x:t>
        </x:is>
      </x:c>
      <x:c r="G7" s="6" t="inlineStr">
        <x:is>
          <x:t xml:space="preserve"/>
        </x:is>
      </x:c>
      <x:c r="H7" s="6" t="inlineStr">
        <x:is>
          <x:t xml:space="preserve"/>
        </x:is>
      </x:c>
      <x:c r="I7" s="6" t="inlineStr">
        <x:is>
          <x:t xml:space="preserve"/>
        </x:is>
      </x:c>
      <x:c r="J7" s="6" t="inlineStr">
        <x:is>
          <x:t xml:space="preserve"/>
        </x:is>
      </x:c>
      <x:c r="K7" s="6" t="inlineStr">
        <x:is>
          <x:t xml:space="preserve"/>
        </x:is>
      </x:c>
      <x:c r="L7" s="6" t="inlineStr">
        <x:is>
          <x:t xml:space="preserve">Tidak</x:t>
        </x:is>
      </x:c>
      <x:c r="M7" s="9">
        <x:f>IF(E7="Ya",2,IF(E7="Parsial",1,0))</x:f>
        <x:v>1</x:v>
      </x:c>
    </x:row>
    <x:row r="8" ht="32" customHeight="1">
      <x:c r="A8" s="6" t="n">
        <x:v>4</x:v>
      </x:c>
      <x:c r="B8" s="7" t="inlineStr">
        <x:is>
          <x:t xml:space="preserve">Alerting</x:t>
        </x:is>
      </x:c>
      <x:c r="C8" s="7" t="inlineStr">
        <x:is>
          <x:t xml:space="preserve">Alert dapat ditindaklanjuti dan memiliki owner</x:t>
        </x:is>
      </x:c>
      <x:c r="D8" s="7" t="inlineStr">
        <x:is>
          <x:t xml:space="preserve">Rule alert dan runbook</x:t>
        </x:is>
      </x:c>
      <x:c r="E8" s="6" t="inlineStr">
        <x:is>
          <x:t xml:space="preserve">Parsial</x:t>
        </x:is>
      </x:c>
      <x:c r="F8" s="6" t="inlineStr">
        <x:is>
          <x:t xml:space="preserve">Sedang</x:t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6" t="inlineStr">
        <x:is>
          <x:t xml:space="preserve"/>
        </x:is>
      </x:c>
      <x:c r="J8" s="6" t="inlineStr">
        <x:is>
          <x:t xml:space="preserve"/>
        </x:is>
      </x:c>
      <x:c r="K8" s="6" t="inlineStr">
        <x:is>
          <x:t xml:space="preserve"/>
        </x:is>
      </x:c>
      <x:c r="L8" s="6" t="inlineStr">
        <x:is>
          <x:t xml:space="preserve">Tidak</x:t>
        </x:is>
      </x:c>
      <x:c r="M8" s="9">
        <x:f>IF(E8="Ya",2,IF(E8="Parsial",1,0))</x:f>
        <x:v>1</x:v>
      </x:c>
    </x:row>
    <x:row r="9" ht="32" customHeight="1">
      <x:c r="A9" s="6" t="n">
        <x:v>5</x:v>
      </x:c>
      <x:c r="B9" s="7" t="inlineStr">
        <x:is>
          <x:t xml:space="preserve">Incident Response</x:t>
        </x:is>
      </x:c>
      <x:c r="C9" s="7" t="inlineStr">
        <x:is>
          <x:t xml:space="preserve">Severity matrix dan eskalasi tersedia</x:t>
        </x:is>
      </x:c>
      <x:c r="D9" s="7" t="inlineStr">
        <x:is>
          <x:t xml:space="preserve">Runbook / playbook</x:t>
        </x:is>
      </x:c>
      <x:c r="E9" s="6" t="inlineStr">
        <x:is>
          <x:t xml:space="preserve">Tidak</x:t>
        </x:is>
      </x:c>
      <x:c r="F9" s="6" t="inlineStr">
        <x:is>
          <x:t xml:space="preserve">Tinggi</x:t>
        </x:is>
      </x:c>
      <x:c r="G9" s="6" t="inlineStr">
        <x:is>
          <x:t xml:space="preserve"/>
        </x:is>
      </x:c>
      <x:c r="H9" s="6" t="inlineStr">
        <x:is>
          <x:t xml:space="preserve"/>
        </x:is>
      </x:c>
      <x:c r="I9" s="6" t="inlineStr">
        <x:is>
          <x:t xml:space="preserve"/>
        </x:is>
      </x:c>
      <x:c r="J9" s="6" t="inlineStr">
        <x:is>
          <x:t xml:space="preserve"/>
        </x:is>
      </x:c>
      <x:c r="K9" s="6" t="inlineStr">
        <x:is>
          <x:t xml:space="preserve"/>
        </x:is>
      </x:c>
      <x:c r="L9" s="6" t="inlineStr">
        <x:is>
          <x:t xml:space="preserve">Tidak</x:t>
        </x:is>
      </x:c>
      <x:c r="M9" s="9">
        <x:f>IF(E9="Ya",2,IF(E9="Parsial",1,0))</x:f>
        <x:v>0</x:v>
      </x:c>
    </x:row>
    <x:row r="10" ht="32" customHeight="1">
      <x:c r="A10" s="6" t="n">
        <x:v>6</x:v>
      </x:c>
      <x:c r="B10" s="7" t="inlineStr">
        <x:is>
          <x:t xml:space="preserve">Postmortem</x:t>
        </x:is>
      </x:c>
      <x:c r="C10" s="7" t="inlineStr">
        <x:is>
          <x:t xml:space="preserve">Template dan pelacakan aksi tersedia</x:t>
        </x:is>
      </x:c>
      <x:c r="D10" s="7" t="inlineStr">
        <x:is>
          <x:t xml:space="preserve">Postmortem terdahulu</x:t>
        </x:is>
      </x:c>
      <x:c r="E10" s="6" t="inlineStr">
        <x:is>
          <x:t xml:space="preserve">Parsial</x:t>
        </x:is>
      </x:c>
      <x:c r="F10" s="6" t="inlineStr">
        <x:is>
          <x:t xml:space="preserve">Sedang</x:t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6" t="inlineStr">
        <x:is>
          <x:t xml:space="preserve"/>
        </x:is>
      </x:c>
      <x:c r="J10" s="6" t="inlineStr">
        <x:is>
          <x:t xml:space="preserve"/>
        </x:is>
      </x:c>
      <x:c r="K10" s="6" t="inlineStr">
        <x:is>
          <x:t xml:space="preserve"/>
        </x:is>
      </x:c>
      <x:c r="L10" s="6" t="inlineStr">
        <x:is>
          <x:t xml:space="preserve">Tidak</x:t>
        </x:is>
      </x:c>
      <x:c r="M10" s="9">
        <x:f>IF(E10="Ya",2,IF(E10="Parsial",1,0))</x:f>
        <x:v>1</x:v>
      </x:c>
    </x:row>
    <x:row r="11" ht="32" customHeight="1">
      <x:c r="A11" s="6" t="n">
        <x:v>7</x:v>
      </x:c>
      <x:c r="B11" s="7" t="inlineStr">
        <x:is>
          <x:t xml:space="preserve">Capacity</x:t>
        </x:is>
      </x:c>
      <x:c r="C11" s="7" t="inlineStr">
        <x:is>
          <x:t xml:space="preserve">Ada pemantauan saturation dan review kapasitas</x:t>
        </x:is>
      </x:c>
      <x:c r="D11" s="7" t="inlineStr">
        <x:is>
          <x:t xml:space="preserve">Trend CPU / memory / QPS</x:t>
        </x:is>
      </x:c>
      <x:c r="E11" s="6" t="inlineStr">
        <x:is>
          <x:t xml:space="preserve">Tidak</x:t>
        </x:is>
      </x:c>
      <x:c r="F11" s="6" t="inlineStr">
        <x:is>
          <x:t xml:space="preserve">Sedang</x:t>
        </x:is>
      </x:c>
      <x:c r="G11" s="6" t="inlineStr">
        <x:is>
          <x:t xml:space="preserve"/>
        </x:is>
      </x:c>
      <x:c r="H11" s="6" t="inlineStr">
        <x:is>
          <x:t xml:space="preserve"/>
        </x:is>
      </x:c>
      <x:c r="I11" s="6" t="inlineStr">
        <x:is>
          <x:t xml:space="preserve"/>
        </x:is>
      </x:c>
      <x:c r="J11" s="6" t="inlineStr">
        <x:is>
          <x:t xml:space="preserve"/>
        </x:is>
      </x:c>
      <x:c r="K11" s="6" t="inlineStr">
        <x:is>
          <x:t xml:space="preserve"/>
        </x:is>
      </x:c>
      <x:c r="L11" s="6" t="inlineStr">
        <x:is>
          <x:t xml:space="preserve">Tidak</x:t>
        </x:is>
      </x:c>
      <x:c r="M11" s="9">
        <x:f>IF(E11="Ya",2,IF(E11="Parsial",1,0))</x:f>
        <x:v>0</x:v>
      </x:c>
    </x:row>
    <x:row r="12" ht="32" customHeight="1">
      <x:c r="A12" s="6" t="n">
        <x:v>8</x:v>
      </x:c>
      <x:c r="B12" s="7" t="inlineStr">
        <x:is>
          <x:t xml:space="preserve">Change Safety</x:t>
        </x:is>
      </x:c>
      <x:c r="C12" s="7" t="inlineStr">
        <x:is>
          <x:t xml:space="preserve">Perubahan dapat dihubungkan ke gejala operasional</x:t>
        </x:is>
      </x:c>
      <x:c r="D12" s="7" t="inlineStr">
        <x:is>
          <x:t xml:space="preserve">Pipeline / release log</x:t>
        </x:is>
      </x:c>
      <x:c r="E12" s="6" t="inlineStr">
        <x:is>
          <x:t xml:space="preserve">Parsial</x:t>
        </x:is>
      </x:c>
      <x:c r="F12" s="6" t="inlineStr">
        <x:is>
          <x:t xml:space="preserve">Sedang</x:t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6" t="inlineStr">
        <x:is>
          <x:t xml:space="preserve"/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>Tidak</x:t>
        </x:is>
      </x:c>
      <x:c r="M12" s="9">
        <x:f>IF(E12="Ya",2,IF(E12="Parsial",1,0))</x:f>
        <x:v>1</x:v>
      </x:c>
    </x:row>
    <x:row r="15">
      <x:c r="K15" s="4" t="inlineStr">
        <x:is>
          <x:t xml:space="preserve">Total Skor</x:t>
        </x:is>
      </x:c>
      <x:c r="L15" s="4" t="inlineStr">
        <x:is>
          <x:t xml:space="preserve">Maksimum</x:t>
        </x:is>
      </x:c>
      <x:c r="M15" s="4" t="inlineStr">
        <x:is>
          <x:t xml:space="preserve">Persentase</x:t>
        </x:is>
      </x:c>
    </x:row>
    <x:row r="16">
      <x:c r="K16" s="10">
        <x:f>SUM(M5:M12)</x:f>
        <x:v>5</x:v>
      </x:c>
      <x:c r="L16" s="10" t="n">
        <x:v>16</x:v>
      </x:c>
      <x:c r="M16" s="11">
        <x:f>K16/L16</x:f>
        <x:v>0.3125</x:v>
      </x:c>
    </x:row>
  </x:sheetData>
  <x:mergeCells>
    <x:mergeCell ref="A1:M2"/>
  </x:mergeCells>
  <x:dataValidations count="3">
    <x:dataValidation type="list" allowBlank="1" showDropDown="0" showInputMessage="0" showErrorMessage="0" sqref="E5:E12">
      <x:formula1>"Ya,Parsial,Tidak"</x:formula1>
    </x:dataValidation>
    <x:dataValidation type="list" allowBlank="1" showDropDown="0" showInputMessage="0" showErrorMessage="0" sqref="F5:F12">
      <x:formula1>"Tinggi,Sedang,Rendah"</x:formula1>
    </x:dataValidation>
    <x:dataValidation type="list" allowBlank="1" showDropDown="0" showInputMessage="0" showErrorMessage="0" sqref="H5:H9 L5:L12">
      <x:formula1>"Ya,Tidak"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8" customWidth="1"/>
    <x:col min="3" max="3" width="16" customWidth="1"/>
    <x:col min="4" max="4" width="26" customWidth="1"/>
    <x:col min="5" max="5" width="12" customWidth="1"/>
    <x:col min="6" max="6" width="26" customWidth="1"/>
    <x:col min="7" max="7" width="26" customWidth="1"/>
    <x:col min="8" max="8" width="12" customWidth="1"/>
    <x:col min="9" max="9" width="26" customWidth="1"/>
    <x:col min="10" max="10" width="26" customWidth="1"/>
  </x:cols>
  <x:sheetData>
    <x:row r="1">
      <x:c r="A1" s="1" t="inlineStr">
        <x:is>
          <x:t xml:space="preserve">Penugasan DevSecOps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4" ht="32" customHeight="1">
      <x:c r="A4" s="8" t="inlineStr">
        <x:is>
          <x:t xml:space="preserve">No</x:t>
        </x:is>
      </x:c>
      <x:c r="B4" s="8" t="inlineStr">
        <x:is>
          <x:t xml:space="preserve">Aktivitas</x:t>
        </x:is>
      </x:c>
      <x:c r="C4" s="8" t="inlineStr">
        <x:is>
          <x:t xml:space="preserve">Area</x:t>
        </x:is>
      </x:c>
      <x:c r="D4" s="8" t="inlineStr">
        <x:is>
          <x:t xml:space="preserve">Output Minimum</x:t>
        </x:is>
      </x:c>
      <x:c r="E4" s="8" t="inlineStr">
        <x:is>
          <x:t xml:space="preserve">Status</x:t>
        </x:is>
      </x:c>
      <x:c r="F4" s="8" t="inlineStr">
        <x:is>
          <x:t xml:space="preserve">URL Project / Repo</x:t>
        </x:is>
      </x:c>
      <x:c r="G4" s="8" t="inlineStr">
        <x:is>
          <x:t xml:space="preserve">URL Pipeline / MR</x:t>
        </x:is>
      </x:c>
      <x:c r="H4" s="8" t="inlineStr">
        <x:is>
          <x:t xml:space="preserve">Capture</x:t>
        </x:is>
      </x:c>
      <x:c r="I4" s="8" t="inlineStr">
        <x:is>
          <x:t xml:space="preserve">Temuan Utama</x:t>
        </x:is>
      </x:c>
      <x:c r="J4" s="8" t="inlineStr">
        <x:is>
          <x:t xml:space="preserve">Rekomendasi</x:t>
        </x:is>
      </x:c>
    </x:row>
    <x:row r="5" ht="32" customHeight="1">
      <x:c r="A5" s="6" t="n">
        <x:v>1</x:v>
      </x:c>
      <x:c r="B5" s="7" t="inlineStr">
        <x:is>
          <x:t xml:space="preserve">Aktifkan pipeline keamanan</x:t>
        </x:is>
      </x:c>
      <x:c r="C5" s="7" t="inlineStr">
        <x:is>
          <x:t xml:space="preserve">SAST</x:t>
        </x:is>
      </x:c>
      <x:c r="D5" s="7" t="inlineStr">
        <x:is>
          <x:t xml:space="preserve">Pipeline menampilkan hasil SAST</x:t>
        </x:is>
      </x:c>
      <x:c r="E5" s="6" t="inlineStr">
        <x:is>
          <x:t xml:space="preserve">Belum</x:t>
        </x:is>
      </x:c>
      <x:c r="F5" s="6" t="inlineStr">
        <x:is>
          <x:t xml:space="preserve"/>
        </x:is>
      </x:c>
      <x:c r="G5" s="6" t="inlineStr">
        <x:is>
          <x:t xml:space="preserve"/>
        </x:is>
      </x:c>
      <x:c r="H5" s="6" t="inlineStr">
        <x:is>
          <x:t xml:space="preserve">Tidak</x:t>
        </x:is>
      </x:c>
      <x:c r="I5" s="6" t="inlineStr">
        <x:is>
          <x:t xml:space="preserve"/>
        </x:is>
      </x:c>
      <x:c r="J5" s="6" t="inlineStr">
        <x:is>
          <x:t xml:space="preserve"/>
        </x:is>
      </x:c>
    </x:row>
    <x:row r="6" ht="32" customHeight="1">
      <x:c r="A6" s="6" t="n">
        <x:v>2</x:v>
      </x:c>
      <x:c r="B6" s="7" t="inlineStr">
        <x:is>
          <x:t xml:space="preserve">Aktifkan dependency scanning</x:t>
        </x:is>
      </x:c>
      <x:c r="C6" s="7" t="inlineStr">
        <x:is>
          <x:t xml:space="preserve">SCA</x:t>
        </x:is>
      </x:c>
      <x:c r="D6" s="7" t="inlineStr">
        <x:is>
          <x:t xml:space="preserve">Dependency scan selesai</x:t>
        </x:is>
      </x:c>
      <x:c r="E6" s="6" t="inlineStr">
        <x:is>
          <x:t xml:space="preserve">Belum</x:t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>Tidak</x:t>
        </x:is>
      </x:c>
      <x:c r="I6" s="6" t="inlineStr">
        <x:is>
          <x:t xml:space="preserve"/>
        </x:is>
      </x:c>
      <x:c r="J6" s="6" t="inlineStr">
        <x:is>
          <x:t xml:space="preserve"/>
        </x:is>
      </x:c>
    </x:row>
    <x:row r="7" ht="32" customHeight="1">
      <x:c r="A7" s="6" t="n">
        <x:v>3</x:v>
      </x:c>
      <x:c r="B7" s="7" t="inlineStr">
        <x:is>
          <x:t xml:space="preserve">Jalankan scan Terraform / Kubernetes</x:t>
        </x:is>
      </x:c>
      <x:c r="C7" s="7" t="inlineStr">
        <x:is>
          <x:t xml:space="preserve">IaC</x:t>
        </x:is>
      </x:c>
      <x:c r="D7" s="7" t="inlineStr">
        <x:is>
          <x:t xml:space="preserve">Hasil scan Checkov atau ekuivalen</x:t>
        </x:is>
      </x:c>
      <x:c r="E7" s="6" t="inlineStr">
        <x:is>
          <x:t xml:space="preserve">Belum</x:t>
        </x:is>
      </x:c>
      <x:c r="F7" s="6" t="inlineStr">
        <x:is>
          <x:t xml:space="preserve"/>
        </x:is>
      </x:c>
      <x:c r="G7" s="6" t="inlineStr">
        <x:is>
          <x:t xml:space="preserve"/>
        </x:is>
      </x:c>
      <x:c r="H7" s="6" t="inlineStr">
        <x:is>
          <x:t xml:space="preserve">Tidak</x:t>
        </x:is>
      </x:c>
      <x:c r="I7" s="6" t="inlineStr">
        <x:is>
          <x:t xml:space="preserve"/>
        </x:is>
      </x:c>
      <x:c r="J7" s="6" t="inlineStr">
        <x:is>
          <x:t xml:space="preserve"/>
        </x:is>
      </x:c>
    </x:row>
    <x:row r="8" ht="32" customHeight="1">
      <x:c r="A8" s="6" t="n">
        <x:v>4</x:v>
      </x:c>
      <x:c r="B8" s="7" t="inlineStr">
        <x:is>
          <x:t xml:space="preserve">Analisis severity temuan</x:t>
        </x:is>
      </x:c>
      <x:c r="C8" s="7" t="inlineStr">
        <x:is>
          <x:t xml:space="preserve">Review</x:t>
        </x:is>
      </x:c>
      <x:c r="D8" s="7" t="inlineStr">
        <x:is>
          <x:t xml:space="preserve">Klasifikasi kritis / tinggi / sedang / rendah</x:t>
        </x:is>
      </x:c>
      <x:c r="E8" s="6" t="inlineStr">
        <x:is>
          <x:t xml:space="preserve">Belum</x:t>
        </x:is>
      </x:c>
      <x:c r="F8" s="6" t="inlineStr">
        <x:is>
          <x:t xml:space="preserve"/>
        </x:is>
      </x:c>
      <x:c r="G8" s="6" t="inlineStr">
        <x:is>
          <x:t xml:space="preserve"/>
        </x:is>
      </x:c>
      <x:c r="H8" s="6" t="inlineStr">
        <x:is>
          <x:t xml:space="preserve">Tidak</x:t>
        </x:is>
      </x:c>
      <x:c r="I8" s="6" t="inlineStr">
        <x:is>
          <x:t xml:space="preserve"/>
        </x:is>
      </x:c>
      <x:c r="J8" s="6" t="inlineStr">
        <x:is>
          <x:t xml:space="preserve"/>
        </x:is>
      </x:c>
    </x:row>
    <x:row r="9" ht="32" customHeight="1">
      <x:c r="A9" s="6" t="n">
        <x:v>5</x:v>
      </x:c>
      <x:c r="B9" s="7" t="inlineStr">
        <x:is>
          <x:t xml:space="preserve">Susun rekomendasi hardening</x:t>
        </x:is>
      </x:c>
      <x:c r="C9" s="7" t="inlineStr">
        <x:is>
          <x:t xml:space="preserve">Remediasi</x:t>
        </x:is>
      </x:c>
      <x:c r="D9" s="7" t="inlineStr">
        <x:is>
          <x:t xml:space="preserve">Daftar perbaikan dengan prioritas</x:t>
        </x:is>
      </x:c>
      <x:c r="E9" s="6" t="inlineStr">
        <x:is>
          <x:t xml:space="preserve">Belum</x:t>
        </x:is>
      </x:c>
      <x:c r="F9" s="6" t="inlineStr">
        <x:is>
          <x:t xml:space="preserve"/>
        </x:is>
      </x:c>
      <x:c r="G9" s="6" t="inlineStr">
        <x:is>
          <x:t xml:space="preserve"/>
        </x:is>
      </x:c>
      <x:c r="H9" s="6" t="inlineStr">
        <x:is>
          <x:t xml:space="preserve">Tidak</x:t>
        </x:is>
      </x:c>
      <x:c r="I9" s="6" t="inlineStr">
        <x:is>
          <x:t xml:space="preserve"/>
        </x:is>
      </x:c>
      <x:c r="J9" s="6" t="inlineStr">
        <x:is>
          <x:t xml:space="preserve"/>
        </x:is>
      </x:c>
    </x:row>
    <x:row r="10" ht="32" customHeight="1"/>
  </x:sheetData>
  <x:mergeCells>
    <x:mergeCell ref="A1:J2"/>
  </x:mergeCells>
  <x:dataValidations count="2">
    <x:dataValidation type="list" allowBlank="1" showDropDown="0" showInputMessage="0" showErrorMessage="0" sqref="E5:E9">
      <x:formula1>"Belum,Proses,Selesai"</x:formula1>
    </x:dataValidation>
    <x:dataValidation type="list" allowBlank="1" showDropDown="0" showInputMessage="0" showErrorMessage="0" sqref="H5:H9 L5:L12">
      <x:formula1>"Ya,Tidak"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20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1" t="inlineStr">
        <x:is>
          <x:t xml:space="preserve">Ringkasan Laporan Pengawasan SRE dan DevSecOps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22" customHeight="1">
      <x:c r="A2" s="1" t="n"/>
      <x:c r="B2" s="1" t="n"/>
      <x:c r="C2" s="1" t="n"/>
      <x:c r="D2" s="1" t="n"/>
      <x:c r="E2" s="1" t="n"/>
      <x:c r="F2" s="1" t="n"/>
      <x:c r="G2" s="1" t="n"/>
      <x:c r="H2" s="1" t="n"/>
    </x:row>
    <x:row r="3" ht="22" customHeight="1"/>
    <x:row r="4" ht="22" customHeight="1">
      <x:c r="A4" s="3" t="inlineStr">
        <x:is>
          <x:t xml:space="preserve">Identitas Penugasan</x:t>
        </x:is>
      </x:c>
      <x:c r="B4" s="3" t="n"/>
      <x:c r="C4" s="3" t="n"/>
      <x:c r="D4" s="3" t="n"/>
      <x:c r="E4" s="3" t="n"/>
      <x:c r="F4" s="3" t="n"/>
      <x:c r="G4" s="3" t="n"/>
      <x:c r="H4" s="3" t="n"/>
    </x:row>
    <x:row r="5" ht="22" customHeight="1">
      <x:c r="A5" s="12" t="inlineStr">
        <x:is>
          <x:t xml:space="preserve">Nama peserta / tim</x:t>
        </x:is>
      </x:c>
      <x:c r="B5" s="13" t="n"/>
      <x:c r="E5" s="12" t="inlineStr">
        <x:is>
          <x:t xml:space="preserve">Tanggal</x:t>
        </x:is>
      </x:c>
      <x:c r="F5" s="13" t="n"/>
    </x:row>
    <x:row r="6" ht="22" customHeight="1">
      <x:c r="A6" s="12" t="inlineStr">
        <x:is>
          <x:t xml:space="preserve">Layanan / project</x:t>
        </x:is>
      </x:c>
      <x:c r="B6" s="13" t="n"/>
      <x:c r="E6" s="12" t="inlineStr">
        <x:is>
          <x:t xml:space="preserve">URL repo utama</x:t>
        </x:is>
      </x:c>
      <x:c r="F6" s="13" t="n"/>
    </x:row>
    <x:row r="7" ht="22" customHeight="1"/>
    <x:row r="8" ht="22" customHeight="1">
      <x:c r="A8" s="3" t="inlineStr">
        <x:is>
          <x:t xml:space="preserve">Ringkasan Eksekutif</x:t>
        </x:is>
      </x:c>
      <x:c r="B8" s="3" t="n"/>
      <x:c r="C8" s="3" t="n"/>
      <x:c r="D8" s="3" t="n"/>
      <x:c r="E8" s="3" t="n"/>
      <x:c r="F8" s="3" t="n"/>
      <x:c r="G8" s="3" t="n"/>
      <x:c r="H8" s="3" t="n"/>
    </x:row>
    <x:row r="9" ht="24" customHeight="1">
      <x:c r="A9" s="13" t="inlineStr">
        <x:is>
          <x:t xml:space="preserve">Ringkasan layanan, objective penugasan, dan kesimpulan singkat.</x:t>
        </x:is>
      </x:c>
    </x:row>
    <x:row r="10" ht="24" customHeight="1"/>
    <x:row r="11" ht="24" customHeight="1"/>
    <x:row r="12" ht="22" customHeight="1"/>
    <x:row r="13" ht="22" customHeight="1">
      <x:c r="A13" s="3" t="inlineStr">
        <x:is>
          <x:t xml:space="preserve">Temuan Prioritas Tinggi</x:t>
        </x:is>
      </x:c>
      <x:c r="B13" s="3" t="n"/>
      <x:c r="C13" s="3" t="n"/>
      <x:c r="D13" s="3" t="n"/>
      <x:c r="E13" s="3" t="n"/>
      <x:c r="F13" s="3" t="n"/>
      <x:c r="G13" s="3" t="n"/>
      <x:c r="H13" s="3" t="n"/>
    </x:row>
    <x:row r="14" ht="24" customHeight="1">
      <x:c r="A14" s="13" t="inlineStr">
        <x:is>
          <x:t xml:space="preserve">Tuliskan maksimum tiga temuan prioritas tinggi beserta dampak operasional atau keamanan.</x:t>
        </x:is>
      </x:c>
    </x:row>
    <x:row r="15" ht="24" customHeight="1"/>
    <x:row r="16" ht="24" customHeight="1"/>
    <x:row r="17" ht="24" customHeight="1"/>
    <x:row r="18" ht="24" customHeight="1"/>
    <x:row r="19" ht="22" customHeight="1"/>
    <x:row r="20" ht="22" customHeight="1">
      <x:c r="A20" s="3" t="inlineStr">
        <x:is>
          <x:t xml:space="preserve">Rekomendasi Perbaikan</x:t>
        </x:is>
      </x:c>
      <x:c r="B20" s="3" t="n"/>
      <x:c r="C20" s="3" t="n"/>
      <x:c r="D20" s="3" t="n"/>
      <x:c r="E20" s="3" t="n"/>
      <x:c r="F20" s="3" t="n"/>
      <x:c r="G20" s="3" t="n"/>
      <x:c r="H20" s="3" t="n"/>
    </x:row>
    <x:row r="21" ht="24" customHeight="1">
      <x:c r="A21" s="13" t="inlineStr">
        <x:is>
          <x:t xml:space="preserve">Tuliskan rekomendasi perbaikan yang dapat ditindaklanjuti, beserta urutan prioritas.</x:t>
        </x:is>
      </x:c>
    </x:row>
    <x:row r="22" ht="24" customHeight="1"/>
    <x:row r="23" ht="24" customHeight="1"/>
    <x:row r="24" ht="24" customHeight="1"/>
    <x:row r="25" ht="24" customHeight="1"/>
    <x:row r="26" ht="22" customHeight="1"/>
    <x:row r="27" ht="22" customHeight="1">
      <x:c r="A27" s="3" t="inlineStr">
        <x:is>
          <x:t xml:space="preserve">Daftar Bukti dan Referensi</x:t>
        </x:is>
      </x:c>
      <x:c r="B27" s="3" t="n"/>
      <x:c r="C27" s="3" t="n"/>
      <x:c r="D27" s="3" t="n"/>
      <x:c r="E27" s="3" t="n"/>
      <x:c r="F27" s="3" t="n"/>
      <x:c r="G27" s="3" t="n"/>
      <x:c r="H27" s="3" t="n"/>
    </x:row>
    <x:row r="28" ht="24" customHeight="1">
      <x:c r="A28" s="13" t="inlineStr">
        <x:is>
          <x:t xml:space="preserve">Cantumkan URL dashboard, pipeline, merge request, hasil scan, atau capture yang relevan.</x:t>
        </x:is>
      </x:c>
    </x:row>
    <x:row r="29" ht="24" customHeight="1"/>
    <x:row r="30" ht="24" customHeight="1"/>
    <x:row r="31" ht="24" customHeight="1"/>
    <x:row r="32" ht="24" customHeight="1"/>
  </x:sheetData>
  <x:mergeCells>
    <x:mergeCell ref="A21:H25"/>
    <x:mergeCell ref="A4:H4"/>
    <x:mergeCell ref="B5:D5"/>
    <x:mergeCell ref="F6:H6"/>
    <x:mergeCell ref="F5:H5"/>
    <x:mergeCell ref="B6:D6"/>
    <x:mergeCell ref="A20:H20"/>
    <x:mergeCell ref="A28:H32"/>
    <x:mergeCell ref="A14:H18"/>
    <x:mergeCell ref="A13:H13"/>
    <x:mergeCell ref="A9:H11"/>
    <x:mergeCell ref="A1:H2"/>
    <x:mergeCell ref="A27:H27"/>
    <x:mergeCell ref="A8:H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3" customWidth="1"/>
    <x:col min="4" max="4" width="18" customWidth="1"/>
    <x:col min="5" max="5" width="18" customWidth="1"/>
    <x:col min="6" max="6" width="18" customWidth="1"/>
  </x:cols>
  <x:sheetData>
    <x:row r="1" ht="24" customHeight="1">
      <x:c r="A1" s="1" t="inlineStr">
        <x:is>
          <x:t xml:space="preserve">Rekap Otomatis</x:t>
        </x:is>
      </x:c>
      <x:c r="B1" s="1" t="n"/>
      <x:c r="C1" s="1" t="n"/>
      <x:c r="D1" s="1" t="n"/>
      <x:c r="E1" s="1" t="n"/>
      <x:c r="F1" s="1" t="n"/>
    </x:row>
    <x:row r="2" ht="24" customHeight="1">
      <x:c r="A2" s="1" t="n"/>
      <x:c r="B2" s="1" t="n"/>
      <x:c r="C2" s="1" t="n"/>
      <x:c r="D2" s="1" t="n"/>
      <x:c r="E2" s="1" t="n"/>
      <x:c r="F2" s="1" t="n"/>
    </x:row>
    <x:row r="3" ht="24" customHeight="1"/>
    <x:row r="4" ht="24" customHeight="1">
      <x:c r="A4" s="4" t="inlineStr">
        <x:is>
          <x:t xml:space="preserve">Indikator</x:t>
        </x:is>
      </x:c>
      <x:c r="B4" s="4" t="inlineStr">
        <x:is>
          <x:t xml:space="preserve">Nilai</x:t>
        </x:is>
      </x:c>
      <x:c r="D4" s="13" t="inlineStr">
        <x:is>
          <x:t xml:space="preserve">Catatan Penyaji / Penilai
Gunakan sheet ini untuk memeriksa kelengkapan dasar sebelum menilai kualitas analisis.
Persentase capaian audit tidak menggantikan penilaian profesional terhadap mutu rekomendasi.</x:t>
        </x:is>
      </x:c>
      <x:c r="E4" s="13" t="n"/>
      <x:c r="F4" s="13" t="n"/>
    </x:row>
    <x:row r="5" ht="24" customHeight="1">
      <x:c r="A5" s="7" t="inlineStr">
        <x:is>
          <x:t xml:space="preserve">Jumlah kontrol audit</x:t>
        </x:is>
      </x:c>
      <x:c r="B5" s="14">
        <x:f>COUNTA(Checklist_Audit_SRE!A5:A12)</x:f>
        <x:v>8</x:v>
      </x:c>
      <x:c r="D5" s="13" t="n"/>
      <x:c r="E5" s="13" t="n"/>
      <x:c r="F5" s="13" t="n"/>
    </x:row>
    <x:row r="6" ht="24" customHeight="1">
      <x:c r="A6" s="7" t="inlineStr">
        <x:is>
          <x:t xml:space="preserve">Total skor audit</x:t>
        </x:is>
      </x:c>
      <x:c r="B6" s="14">
        <x:f>SUM(Checklist_Audit_SRE!M5:M12)</x:f>
        <x:v>5</x:v>
      </x:c>
      <x:c r="D6" s="13" t="n"/>
      <x:c r="E6" s="13" t="n"/>
      <x:c r="F6" s="13" t="n"/>
    </x:row>
    <x:row r="7" ht="24" customHeight="1">
      <x:c r="A7" s="7" t="inlineStr">
        <x:is>
          <x:t xml:space="preserve">Persentase capaian audit</x:t>
        </x:is>
      </x:c>
      <x:c r="B7" s="15">
        <x:f>Checklist_Audit_SRE!M16</x:f>
        <x:v>0.3125</x:v>
      </x:c>
      <x:c r="D7" s="13" t="n"/>
      <x:c r="E7" s="13" t="n"/>
      <x:c r="F7" s="13" t="n"/>
    </x:row>
    <x:row r="8" ht="24" customHeight="1">
      <x:c r="A8" s="7" t="inlineStr">
        <x:is>
          <x:t xml:space="preserve">Aktivitas DevSecOps selesai</x:t>
        </x:is>
      </x:c>
      <x:c r="B8" s="14">
        <x:f>COUNTIF(Penugasan_DevSecOps!E5:E9,"Selesai")</x:f>
        <x:v>0</x:v>
      </x:c>
      <x:c r="D8" s="13" t="n"/>
      <x:c r="E8" s="13" t="n"/>
      <x:c r="F8" s="13" t="n"/>
    </x:row>
    <x:row r="9" ht="24" customHeight="1">
      <x:c r="A9" s="7" t="inlineStr">
        <x:is>
          <x:t xml:space="preserve">Aktivitas DevSecOps belum selesai</x:t>
        </x:is>
      </x:c>
      <x:c r="B9" s="14">
        <x:f>COUNTIF(Penugasan_DevSecOps!E5:E9,"Belum")</x:f>
        <x:v>5</x:v>
      </x:c>
      <x:c r="D9" s="13" t="n"/>
      <x:c r="E9" s="13" t="n"/>
      <x:c r="F9" s="13" t="n"/>
    </x:row>
    <x:row r="10">
      <x:c r="A10" s="7" t="inlineStr">
        <x:is>
          <x:t xml:space="preserve">Capture yang sudah tersedia</x:t>
        </x:is>
      </x:c>
      <x:c r="B10" s="14">
        <x:f>COUNTIF(Penugasan_DevSecOps!H5:H9,"Ya")+COUNTIF(Checklist_Audit_SRE!L5:L12,"Ya")</x:f>
        <x:v>0</x:v>
      </x:c>
    </x:row>
  </x:sheetData>
  <x:mergeCells>
    <x:mergeCell ref="D4:F9"/>
    <x:mergeCell ref="A1:F2"/>
  </x:mergeCells>
  <x:pageMargins left="0.7" right="0.7" top="0.75" bottom="0.75" header="0.3" footer="0.3"/>
</x:worksheet>
</file>